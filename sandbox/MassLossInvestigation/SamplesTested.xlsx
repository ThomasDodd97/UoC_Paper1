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llfieldgroup-my.sharepoint.com/personal/thomas-dodd_millfield-group_co_uk/Documents/Cambridge/PhD/writing/papers/UoC_Paper1/sandbox/MassLossInvestigation/"/>
    </mc:Choice>
  </mc:AlternateContent>
  <xr:revisionPtr revIDLastSave="29" documentId="8_{4314D998-4C24-8F4B-A050-CA8877770391}" xr6:coauthVersionLast="47" xr6:coauthVersionMax="47" xr10:uidLastSave="{6EF6E843-F580-6B46-B80A-2CFF44DEB520}"/>
  <bookViews>
    <workbookView xWindow="-23040" yWindow="-7000" windowWidth="23040" windowHeight="40360" xr2:uid="{6CD22F8F-775D-C548-B021-D508480430FF}"/>
  </bookViews>
  <sheets>
    <sheet name="90oC" sheetId="1" r:id="rId1"/>
    <sheet name="100o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2" l="1"/>
  <c r="F2" i="2"/>
  <c r="H2" i="2"/>
  <c r="E3" i="2"/>
  <c r="F3" i="2"/>
  <c r="H3" i="2"/>
  <c r="E4" i="2"/>
  <c r="F4" i="2"/>
  <c r="H4" i="2"/>
  <c r="E5" i="2"/>
  <c r="F5" i="2"/>
  <c r="H5" i="2"/>
  <c r="E6" i="2"/>
  <c r="F6" i="2"/>
  <c r="H6" i="2"/>
  <c r="E4" i="1"/>
  <c r="H6" i="1"/>
  <c r="H2" i="1"/>
  <c r="H3" i="1"/>
  <c r="H4" i="1"/>
  <c r="H7" i="1"/>
  <c r="E6" i="1"/>
  <c r="F6" i="1" s="1"/>
  <c r="E2" i="1"/>
  <c r="F2" i="1" s="1"/>
  <c r="E3" i="1"/>
  <c r="F3" i="1" s="1"/>
  <c r="E7" i="1"/>
  <c r="F7" i="1" s="1"/>
</calcChain>
</file>

<file path=xl/sharedStrings.xml><?xml version="1.0" encoding="utf-8"?>
<sst xmlns="http://schemas.openxmlformats.org/spreadsheetml/2006/main" count="19" uniqueCount="10">
  <si>
    <t>Sample</t>
  </si>
  <si>
    <t>Cure Temperature (oC)</t>
  </si>
  <si>
    <t>Pre-Cure Mass (g)</t>
  </si>
  <si>
    <t>Post-Cure Mass (g)</t>
  </si>
  <si>
    <t>Cure Mass Loss (g)</t>
  </si>
  <si>
    <t>Post-THF Mass (g)</t>
  </si>
  <si>
    <t>Cure Mass Loss (%)</t>
  </si>
  <si>
    <t>Networked Extent (g)</t>
  </si>
  <si>
    <t>n/a</t>
  </si>
  <si>
    <t>For samples 1 and 5: Specimen disintegrated during tetrahydrofuran exposure and the dispersed insoluble material could not be quantitatively recovered.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</si>
</sst>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3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90oC</a:t>
            </a:r>
            <a:r>
              <a:rPr lang="en-GB" baseline="0"/>
              <a:t> Cure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'90oC'!$F$2:$F$4</c:f>
              <c:numCache>
                <c:formatCode>0.00</c:formatCode>
                <c:ptCount val="3"/>
                <c:pt idx="0">
                  <c:v>7.8324758626135873</c:v>
                </c:pt>
                <c:pt idx="1">
                  <c:v>8.9975091465876638</c:v>
                </c:pt>
                <c:pt idx="2">
                  <c:v>8.7449999999999992</c:v>
                </c:pt>
              </c:numCache>
            </c:numRef>
          </c:xVal>
          <c:yVal>
            <c:numRef>
              <c:f>'90oC'!$H$2:$H$4</c:f>
              <c:numCache>
                <c:formatCode>0.00</c:formatCode>
                <c:ptCount val="3"/>
                <c:pt idx="0">
                  <c:v>28.793340907215708</c:v>
                </c:pt>
                <c:pt idx="1">
                  <c:v>98.818803582154757</c:v>
                </c:pt>
                <c:pt idx="2">
                  <c:v>83.857599107776537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F9-A14F-A1ED-2AAEA2AA7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2555455"/>
        <c:axId val="1342567551"/>
      </c:scatterChart>
      <c:valAx>
        <c:axId val="1342555455"/>
        <c:scaling>
          <c:orientation val="minMax"/>
          <c:max val="11"/>
          <c:min val="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Mass Loss</a:t>
                </a:r>
                <a:r>
                  <a:rPr lang="en-GB" baseline="0"/>
                  <a:t> (%(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567551"/>
        <c:crosses val="autoZero"/>
        <c:crossBetween val="midCat"/>
      </c:valAx>
      <c:valAx>
        <c:axId val="134256755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Networked Extent</a:t>
                </a:r>
                <a:r>
                  <a:rPr lang="en-GB" baseline="0"/>
                  <a:t> (%)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555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100oC</a:t>
            </a:r>
            <a:r>
              <a:rPr lang="en-GB" baseline="0"/>
              <a:t> Cure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'100oC'!$F$2:$F$6</c:f>
              <c:numCache>
                <c:formatCode>0.00</c:formatCode>
                <c:ptCount val="5"/>
                <c:pt idx="0">
                  <c:v>9.6145907144397533</c:v>
                </c:pt>
                <c:pt idx="1">
                  <c:v>11.956375023621201</c:v>
                </c:pt>
                <c:pt idx="2">
                  <c:v>12.621798741053722</c:v>
                </c:pt>
                <c:pt idx="3">
                  <c:v>13.169842701068305</c:v>
                </c:pt>
                <c:pt idx="4">
                  <c:v>12.663949036687999</c:v>
                </c:pt>
              </c:numCache>
            </c:numRef>
          </c:xVal>
          <c:yVal>
            <c:numRef>
              <c:f>'100oC'!$H$2:$H$6</c:f>
              <c:numCache>
                <c:formatCode>0.00</c:formatCode>
                <c:ptCount val="5"/>
                <c:pt idx="0">
                  <c:v>40.349442024391415</c:v>
                </c:pt>
                <c:pt idx="1">
                  <c:v>72.507035151911595</c:v>
                </c:pt>
                <c:pt idx="2">
                  <c:v>88.901811927494705</c:v>
                </c:pt>
                <c:pt idx="3">
                  <c:v>98.959365344957902</c:v>
                </c:pt>
                <c:pt idx="4">
                  <c:v>93.632623796289394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58-044D-B473-C92759DEC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2555455"/>
        <c:axId val="1342567551"/>
      </c:scatterChart>
      <c:valAx>
        <c:axId val="1342555455"/>
        <c:scaling>
          <c:orientation val="minMax"/>
          <c:max val="13"/>
          <c:min val="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Mass Loss</a:t>
                </a:r>
                <a:r>
                  <a:rPr lang="en-GB" baseline="0"/>
                  <a:t> (%(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567551"/>
        <c:crosses val="autoZero"/>
        <c:crossBetween val="midCat"/>
        <c:majorUnit val="1"/>
      </c:valAx>
      <c:valAx>
        <c:axId val="134256755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Networked Extent</a:t>
                </a:r>
                <a:r>
                  <a:rPr lang="en-GB" baseline="0"/>
                  <a:t> (%)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555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430195</xdr:colOff>
      <xdr:row>8</xdr:row>
      <xdr:rowOff>154985</xdr:rowOff>
    </xdr:from>
    <xdr:to>
      <xdr:col>4</xdr:col>
      <xdr:colOff>912795</xdr:colOff>
      <xdr:row>22</xdr:row>
      <xdr:rowOff>53384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9CA8E0-095A-9949-8A70-AEA53288F9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7</xdr:row>
      <xdr:rowOff>12700</xdr:rowOff>
    </xdr:from>
    <xdr:to>
      <xdr:col>6</xdr:col>
      <xdr:colOff>515620</xdr:colOff>
      <xdr:row>20</xdr:row>
      <xdr:rowOff>111626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26BD1E-69AD-E749-BBF4-4C2D2C4BFC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A1269-BAE9-2747-AAD9-6BF6D2DC2FF2}">
  <dimension ref="A1:H8"/>
  <sheetViews>
    <sheetView tabSelected="1" zoomScale="125" zoomScaleNormal="182" workbookViewId="0">
      <selection activeCell="F13" sqref="F13"/>
    </sheetView>
  </sheetViews>
  <sheetFormatPr baseColWidth="10" defaultRowHeight="16" x14ac:dyDescent="0.2"/>
  <cols>
    <col min="3" max="3" width="15.5" bestFit="1" customWidth="1"/>
    <col min="4" max="4" width="16.5" bestFit="1" customWidth="1"/>
    <col min="5" max="5" width="16" bestFit="1" customWidth="1"/>
    <col min="6" max="6" width="16.83203125" style="2" bestFit="1" customWidth="1"/>
    <col min="7" max="7" width="15.5" bestFit="1" customWidth="1"/>
    <col min="8" max="8" width="15.33203125" style="2" customWidth="1"/>
    <col min="9" max="9" width="18.1640625" bestFit="1" customWidth="1"/>
  </cols>
  <sheetData>
    <row r="1" spans="1:8" x14ac:dyDescent="0.2">
      <c r="A1" t="s">
        <v>1</v>
      </c>
      <c r="B1" t="s">
        <v>0</v>
      </c>
      <c r="C1" t="s">
        <v>2</v>
      </c>
      <c r="D1" t="s">
        <v>3</v>
      </c>
      <c r="E1" t="s">
        <v>4</v>
      </c>
      <c r="F1" s="2" t="s">
        <v>6</v>
      </c>
      <c r="G1" t="s">
        <v>5</v>
      </c>
      <c r="H1" s="2" t="s">
        <v>7</v>
      </c>
    </row>
    <row r="2" spans="1:8" ht="17" x14ac:dyDescent="0.2">
      <c r="A2">
        <v>90</v>
      </c>
      <c r="B2">
        <v>2</v>
      </c>
      <c r="C2" s="1">
        <v>3.4189699999999998</v>
      </c>
      <c r="D2" s="1">
        <v>3.1511800000000001</v>
      </c>
      <c r="E2">
        <f>C2-D2</f>
        <v>0.26778999999999975</v>
      </c>
      <c r="F2" s="2">
        <f>(E2/C2)*100</f>
        <v>7.8324758626135873</v>
      </c>
      <c r="G2" s="1">
        <v>0.90732999999999997</v>
      </c>
      <c r="H2" s="2">
        <f>(G2/D2)*100</f>
        <v>28.793340907215708</v>
      </c>
    </row>
    <row r="3" spans="1:8" ht="17" x14ac:dyDescent="0.2">
      <c r="A3">
        <v>90</v>
      </c>
      <c r="B3">
        <v>3</v>
      </c>
      <c r="C3" s="1">
        <v>3.2197800000000001</v>
      </c>
      <c r="D3" s="1">
        <v>2.9300799999999998</v>
      </c>
      <c r="E3">
        <f>C3-D3</f>
        <v>0.28970000000000029</v>
      </c>
      <c r="F3" s="2">
        <f>(E3/C3)*100</f>
        <v>8.9975091465876638</v>
      </c>
      <c r="G3" s="1">
        <v>2.89547</v>
      </c>
      <c r="H3" s="2">
        <f>(G3/D3)*100</f>
        <v>98.818803582154757</v>
      </c>
    </row>
    <row r="4" spans="1:8" ht="17" x14ac:dyDescent="0.2">
      <c r="A4">
        <v>90</v>
      </c>
      <c r="B4">
        <v>4</v>
      </c>
      <c r="C4" s="1">
        <v>3.4586000000000001</v>
      </c>
      <c r="D4" s="1">
        <v>3.1561599999999999</v>
      </c>
      <c r="E4">
        <f>C4-D4</f>
        <v>0.30244000000000026</v>
      </c>
      <c r="F4" s="2">
        <v>8.7449999999999992</v>
      </c>
      <c r="G4" s="1">
        <v>2.6466799999999999</v>
      </c>
      <c r="H4" s="2">
        <f>(G4/D4)*100</f>
        <v>83.857599107776537</v>
      </c>
    </row>
    <row r="6" spans="1:8" ht="17" x14ac:dyDescent="0.2">
      <c r="A6">
        <v>90</v>
      </c>
      <c r="B6">
        <v>1</v>
      </c>
      <c r="C6" s="1">
        <v>3.1959399999999998</v>
      </c>
      <c r="D6" s="1">
        <v>2.9788399999999999</v>
      </c>
      <c r="E6">
        <f>C6-D6</f>
        <v>0.21709999999999985</v>
      </c>
      <c r="F6" s="2">
        <f>(E6/C6)*100</f>
        <v>6.7929936106434994</v>
      </c>
      <c r="G6" s="1" t="s">
        <v>8</v>
      </c>
      <c r="H6" s="2" t="e">
        <f>(G6/D6)*100</f>
        <v>#VALUE!</v>
      </c>
    </row>
    <row r="7" spans="1:8" ht="17" x14ac:dyDescent="0.2">
      <c r="A7">
        <v>90</v>
      </c>
      <c r="B7">
        <v>5</v>
      </c>
      <c r="C7" s="1">
        <v>3.0966999999999998</v>
      </c>
      <c r="D7" s="1">
        <v>2.7831000000000001</v>
      </c>
      <c r="E7">
        <f>C7-D7</f>
        <v>0.31359999999999966</v>
      </c>
      <c r="F7" s="2">
        <f>(E7/C7)*100</f>
        <v>10.126909290535076</v>
      </c>
      <c r="G7" s="1" t="s">
        <v>8</v>
      </c>
      <c r="H7" s="2" t="e">
        <f>(G7/D7)*100</f>
        <v>#VALUE!</v>
      </c>
    </row>
    <row r="8" spans="1:8" x14ac:dyDescent="0.2">
      <c r="A8" t="s">
        <v>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A7F7B-535A-3B4D-9DDD-950BA458E3BE}">
  <dimension ref="A1:H6"/>
  <sheetViews>
    <sheetView workbookViewId="0">
      <selection sqref="A1:I1"/>
    </sheetView>
  </sheetViews>
  <sheetFormatPr baseColWidth="10" defaultRowHeight="16" x14ac:dyDescent="0.2"/>
  <sheetData>
    <row r="1" spans="1:8" x14ac:dyDescent="0.2">
      <c r="A1" t="s">
        <v>1</v>
      </c>
      <c r="B1" t="s">
        <v>0</v>
      </c>
      <c r="C1" t="s">
        <v>2</v>
      </c>
      <c r="D1" t="s">
        <v>3</v>
      </c>
      <c r="E1" t="s">
        <v>4</v>
      </c>
      <c r="F1" s="2" t="s">
        <v>6</v>
      </c>
      <c r="G1" t="s">
        <v>5</v>
      </c>
      <c r="H1" s="2" t="s">
        <v>7</v>
      </c>
    </row>
    <row r="2" spans="1:8" ht="17" x14ac:dyDescent="0.2">
      <c r="A2">
        <v>100</v>
      </c>
      <c r="B2">
        <v>1</v>
      </c>
      <c r="C2" s="1">
        <v>3.2458999999999998</v>
      </c>
      <c r="D2" s="1">
        <v>2.9338199999999999</v>
      </c>
      <c r="E2">
        <f>C2-D2</f>
        <v>0.31207999999999991</v>
      </c>
      <c r="F2" s="2">
        <f>(E2/C2)*100</f>
        <v>9.6145907144397533</v>
      </c>
      <c r="G2" s="1">
        <v>1.1837800000000001</v>
      </c>
      <c r="H2" s="2">
        <f>(G2/D2)*100</f>
        <v>40.349442024391415</v>
      </c>
    </row>
    <row r="3" spans="1:8" ht="17" x14ac:dyDescent="0.2">
      <c r="A3">
        <v>100</v>
      </c>
      <c r="B3">
        <v>2</v>
      </c>
      <c r="C3" s="1">
        <v>3.3338700000000001</v>
      </c>
      <c r="D3" s="1">
        <v>2.93526</v>
      </c>
      <c r="E3">
        <f>C3-D3</f>
        <v>0.39861000000000013</v>
      </c>
      <c r="F3" s="2">
        <f>(E3/C3)*100</f>
        <v>11.956375023621201</v>
      </c>
      <c r="G3" s="1">
        <v>2.1282700000000001</v>
      </c>
      <c r="H3" s="2">
        <f>(G3/D3)*100</f>
        <v>72.507035151911595</v>
      </c>
    </row>
    <row r="4" spans="1:8" ht="17" x14ac:dyDescent="0.2">
      <c r="A4">
        <v>100</v>
      </c>
      <c r="B4">
        <v>3</v>
      </c>
      <c r="C4" s="1">
        <v>3.24716</v>
      </c>
      <c r="D4" s="1">
        <v>2.83731</v>
      </c>
      <c r="E4">
        <f>C4-D4</f>
        <v>0.40985000000000005</v>
      </c>
      <c r="F4" s="2">
        <f>(E4/C4)*100</f>
        <v>12.621798741053722</v>
      </c>
      <c r="G4" s="1">
        <v>2.5224199999999999</v>
      </c>
      <c r="H4" s="2">
        <f>(G4/D4)*100</f>
        <v>88.901811927494705</v>
      </c>
    </row>
    <row r="5" spans="1:8" ht="17" x14ac:dyDescent="0.2">
      <c r="A5">
        <v>100</v>
      </c>
      <c r="B5">
        <v>4</v>
      </c>
      <c r="C5" s="1">
        <v>3.1386099999999999</v>
      </c>
      <c r="D5" s="1">
        <v>2.72526</v>
      </c>
      <c r="E5">
        <f>C5-D5</f>
        <v>0.41334999999999988</v>
      </c>
      <c r="F5" s="2">
        <f>(E5/C5)*100</f>
        <v>13.169842701068305</v>
      </c>
      <c r="G5" s="1">
        <v>2.6968999999999999</v>
      </c>
      <c r="H5" s="2">
        <f>(G5/D5)*100</f>
        <v>98.959365344957902</v>
      </c>
    </row>
    <row r="6" spans="1:8" ht="17" x14ac:dyDescent="0.2">
      <c r="A6">
        <v>100</v>
      </c>
      <c r="B6">
        <v>5</v>
      </c>
      <c r="C6" s="1">
        <v>3.2258499999999999</v>
      </c>
      <c r="D6" s="1">
        <v>2.8173300000000001</v>
      </c>
      <c r="E6">
        <f>C6-D6</f>
        <v>0.40851999999999977</v>
      </c>
      <c r="F6" s="2">
        <f>(E6/C6)*100</f>
        <v>12.663949036687999</v>
      </c>
      <c r="G6" s="1">
        <v>2.63794</v>
      </c>
      <c r="H6" s="2">
        <f>(G6/D6)*100</f>
        <v>93.632623796289394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90oC</vt:lpstr>
      <vt:lpstr>100oC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Hojlund-Dodd</dc:creator>
  <cp:lastModifiedBy>Thomas Dodd</cp:lastModifiedBy>
  <dcterms:created xsi:type="dcterms:W3CDTF">2026-08-12T09:44:07Z</dcterms:created>
  <dcterms:modified xsi:type="dcterms:W3CDTF">2026-09-08T11:05:22Z</dcterms:modified>
</cp:coreProperties>
</file>